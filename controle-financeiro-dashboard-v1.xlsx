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180e520f9dd212/Desktop/Projetos/Excel/Dashboard Vendas/"/>
    </mc:Choice>
  </mc:AlternateContent>
  <xr:revisionPtr revIDLastSave="2" documentId="8_{F37F92E5-CDDD-4249-8681-5A5A0B684B67}" xr6:coauthVersionLast="47" xr6:coauthVersionMax="47" xr10:uidLastSave="{F7D6E6A1-8C1C-4C60-BC9C-2ABD9FA06846}"/>
  <bookViews>
    <workbookView xWindow="-108" yWindow="-108" windowWidth="23256" windowHeight="12456" activeTab="2" xr2:uid="{BA051E55-0E3E-4A18-AC9C-655F0F582285}"/>
  </bookViews>
  <sheets>
    <sheet name="Base Financeira" sheetId="1" r:id="rId1"/>
    <sheet name="tabela dinâmica" sheetId="3" r:id="rId2"/>
    <sheet name="Dashboard" sheetId="2" r:id="rId3"/>
  </sheets>
  <definedNames>
    <definedName name="_xlnm._FilterDatabase" localSheetId="0" hidden="1">'Base Financeira'!$A$1:$G$22</definedName>
    <definedName name="SegmentaçãodeDados_Categoria">#N/A</definedName>
    <definedName name="SegmentaçãodeDados_Mês">#N/A</definedName>
    <definedName name="SegmentaçãodeDados_Tipo">#N/A</definedName>
  </definedNames>
  <calcPr calcId="191029"/>
  <pivotCaches>
    <pivotCache cacheId="1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2" l="1"/>
  <c r="J2" i="2"/>
  <c r="G2" i="2"/>
  <c r="D2" i="2"/>
  <c r="A2" i="2"/>
  <c r="O15" i="1"/>
  <c r="M15" i="1"/>
  <c r="K15" i="1"/>
  <c r="I15" i="1"/>
  <c r="G20" i="1"/>
  <c r="G21" i="1"/>
  <c r="G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  <c r="I18" i="1" l="1"/>
</calcChain>
</file>

<file path=xl/sharedStrings.xml><?xml version="1.0" encoding="utf-8"?>
<sst xmlns="http://schemas.openxmlformats.org/spreadsheetml/2006/main" count="139" uniqueCount="44">
  <si>
    <t>Data</t>
  </si>
  <si>
    <t>Mês</t>
  </si>
  <si>
    <t>Tipo</t>
  </si>
  <si>
    <t>Categoria</t>
  </si>
  <si>
    <t>Descrição</t>
  </si>
  <si>
    <t>Valor</t>
  </si>
  <si>
    <t>Análise</t>
  </si>
  <si>
    <t>Janeiro</t>
  </si>
  <si>
    <t>Entrada</t>
  </si>
  <si>
    <t>Salário</t>
  </si>
  <si>
    <t>Pagamento mensal</t>
  </si>
  <si>
    <t>Saída</t>
  </si>
  <si>
    <t>Alimentação</t>
  </si>
  <si>
    <t>Mercado</t>
  </si>
  <si>
    <t>Transporte</t>
  </si>
  <si>
    <t>Gasolina</t>
  </si>
  <si>
    <t>Moradia</t>
  </si>
  <si>
    <t>Aluguel</t>
  </si>
  <si>
    <t>Lazer</t>
  </si>
  <si>
    <t>Streaming</t>
  </si>
  <si>
    <t>Fevereiro</t>
  </si>
  <si>
    <t>Saúde</t>
  </si>
  <si>
    <t>Farmácia</t>
  </si>
  <si>
    <t>Uber</t>
  </si>
  <si>
    <t>Educação</t>
  </si>
  <si>
    <t>Curso online</t>
  </si>
  <si>
    <t>Cinema</t>
  </si>
  <si>
    <t>Março</t>
  </si>
  <si>
    <t>Consulta</t>
  </si>
  <si>
    <t>Restaurante</t>
  </si>
  <si>
    <t>Outros</t>
  </si>
  <si>
    <t>Presente</t>
  </si>
  <si>
    <t>Receita Total</t>
  </si>
  <si>
    <t>Despesas Totais</t>
  </si>
  <si>
    <t>Saldo Final</t>
  </si>
  <si>
    <t>Maior Despesa</t>
  </si>
  <si>
    <t>Média de Despesas</t>
  </si>
  <si>
    <t>Rótulos de Linha</t>
  </si>
  <si>
    <t>Soma de Valor</t>
  </si>
  <si>
    <t>Valor Alto</t>
  </si>
  <si>
    <t>Valor Baixo</t>
  </si>
  <si>
    <t>Valor Médio</t>
  </si>
  <si>
    <t>Total Geral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</si>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</sst>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theme="3" tint="0.89999084444715716"/>
      <name val="Aptos Narrow"/>
      <family val="2"/>
      <scheme val="minor"/>
    </font>
    <font>
      <b/>
      <sz val="14"/>
      <color theme="2"/>
      <name val="Aptos Narrow"/>
      <family val="2"/>
      <scheme val="minor"/>
    </font>
    <font>
      <b/>
      <sz val="16"/>
      <color theme="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4" fontId="4" fillId="0" borderId="1" xfId="1" applyFont="1" applyBorder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3" borderId="0" xfId="0" applyFont="1" applyFill="1" applyAlignment="1">
      <alignment horizontal="center"/>
    </xf>
    <xf numFmtId="44" fontId="5" fillId="3" borderId="0" xfId="0" applyNumberFormat="1" applyFont="1" applyFill="1" applyAlignment="1"/>
    <xf numFmtId="0" fontId="0" fillId="0" borderId="0" xfId="0" applyFont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44" fontId="7" fillId="4" borderId="5" xfId="0" applyNumberFormat="1" applyFont="1" applyFill="1" applyBorder="1" applyAlignment="1">
      <alignment horizontal="center" vertical="center"/>
    </xf>
    <xf numFmtId="44" fontId="7" fillId="4" borderId="0" xfId="0" applyNumberFormat="1" applyFont="1" applyFill="1" applyBorder="1" applyAlignment="1">
      <alignment horizontal="center" vertical="center"/>
    </xf>
    <xf numFmtId="44" fontId="7" fillId="4" borderId="6" xfId="0" applyNumberFormat="1" applyFont="1" applyFill="1" applyBorder="1" applyAlignment="1">
      <alignment horizontal="center" vertical="center"/>
    </xf>
    <xf numFmtId="44" fontId="7" fillId="4" borderId="7" xfId="0" applyNumberFormat="1" applyFont="1" applyFill="1" applyBorder="1" applyAlignment="1">
      <alignment horizontal="center" vertical="center"/>
    </xf>
    <xf numFmtId="44" fontId="7" fillId="4" borderId="8" xfId="0" applyNumberFormat="1" applyFont="1" applyFill="1" applyBorder="1" applyAlignment="1">
      <alignment horizontal="center" vertical="center"/>
    </xf>
    <xf numFmtId="44" fontId="7" fillId="4" borderId="9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30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[controle-financeiro-dashboard-v1.xlsx]tabela dinâmica!Tabela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dinâmica'!$A$4:$A$11</c:f>
              <c:strCache>
                <c:ptCount val="7"/>
                <c:pt idx="0">
                  <c:v>Alimentação</c:v>
                </c:pt>
                <c:pt idx="1">
                  <c:v>Educação</c:v>
                </c:pt>
                <c:pt idx="2">
                  <c:v>Lazer</c:v>
                </c:pt>
                <c:pt idx="3">
                  <c:v>Moradia</c:v>
                </c:pt>
                <c:pt idx="4">
                  <c:v>Outros</c:v>
                </c:pt>
                <c:pt idx="5">
                  <c:v>Saúde</c:v>
                </c:pt>
                <c:pt idx="6">
                  <c:v>Transporte</c:v>
                </c:pt>
              </c:strCache>
            </c:strRef>
          </c:cat>
          <c:val>
            <c:numRef>
              <c:f>'tabela dinâmica'!$B$4:$B$11</c:f>
              <c:numCache>
                <c:formatCode>_("R$"* #,##0.00_);_("R$"* \(#,##0.00\);_("R$"* "-"??_);_(@_)</c:formatCode>
                <c:ptCount val="7"/>
                <c:pt idx="0">
                  <c:v>2050</c:v>
                </c:pt>
                <c:pt idx="1">
                  <c:v>360</c:v>
                </c:pt>
                <c:pt idx="2">
                  <c:v>385</c:v>
                </c:pt>
                <c:pt idx="3">
                  <c:v>4200</c:v>
                </c:pt>
                <c:pt idx="4">
                  <c:v>150</c:v>
                </c:pt>
                <c:pt idx="5">
                  <c:v>500</c:v>
                </c:pt>
                <c:pt idx="6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A-4CBE-BA6F-668FF7DDCE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4201999"/>
        <c:axId val="1654204879"/>
      </c:barChart>
      <c:catAx>
        <c:axId val="165420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4204879"/>
        <c:crosses val="autoZero"/>
        <c:auto val="1"/>
        <c:lblAlgn val="ctr"/>
        <c:lblOffset val="100"/>
        <c:noMultiLvlLbl val="0"/>
      </c:catAx>
      <c:valAx>
        <c:axId val="165420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420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[controle-financeiro-dashboard-v1.xlsx]tabela dinâmica!Tabela dinâmica4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Entradas x Saídas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dinâmica'!$E$1:$E$2</c:f>
              <c:strCache>
                <c:ptCount val="1"/>
                <c:pt idx="0">
                  <c:v>Entrada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dinâmica'!$D$3:$D$6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'tabela dinâmica'!$E$3:$E$6</c:f>
              <c:numCache>
                <c:formatCode>_("R$"* #,##0.00_);_("R$"* \(#,##0.00\);_("R$"* "-"??_);_(@_)</c:formatCode>
                <c:ptCount val="3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6-4234-99B1-C1F5AD81E112}"/>
            </c:ext>
          </c:extLst>
        </c:ser>
        <c:ser>
          <c:idx val="1"/>
          <c:order val="1"/>
          <c:tx>
            <c:strRef>
              <c:f>'tabela dinâmica'!$F$1:$F$2</c:f>
              <c:strCache>
                <c:ptCount val="1"/>
                <c:pt idx="0">
                  <c:v>Saída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dinâmica'!$D$3:$D$6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'tabela dinâmica'!$F$3:$F$6</c:f>
              <c:numCache>
                <c:formatCode>_("R$"* #,##0.00_);_("R$"* \(#,##0.00\);_("R$"* "-"??_);_(@_)</c:formatCode>
                <c:ptCount val="3"/>
                <c:pt idx="0">
                  <c:v>2655</c:v>
                </c:pt>
                <c:pt idx="1">
                  <c:v>2630</c:v>
                </c:pt>
                <c:pt idx="2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36-4234-99B1-C1F5AD81E1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19174687"/>
        <c:axId val="1957308847"/>
      </c:barChart>
      <c:catAx>
        <c:axId val="151917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7308847"/>
        <c:crosses val="autoZero"/>
        <c:auto val="1"/>
        <c:lblAlgn val="ctr"/>
        <c:lblOffset val="100"/>
        <c:noMultiLvlLbl val="0"/>
      </c:catAx>
      <c:valAx>
        <c:axId val="19573088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917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[controle-financeiro-dashboard-v1.xlsx]tabela dinâmica!Tabela dinâmica5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Valores por Análise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36-4A25-82EA-EF3988C139E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36-4A25-82EA-EF3988C139E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36-4A25-82EA-EF3988C139ED}"/>
              </c:ext>
            </c:extLst>
          </c:dPt>
          <c:cat>
            <c:strRef>
              <c:f>'tabela dinâmica'!$I$2:$I$5</c:f>
              <c:strCache>
                <c:ptCount val="3"/>
                <c:pt idx="0">
                  <c:v>Valor Alto</c:v>
                </c:pt>
                <c:pt idx="1">
                  <c:v>Valor Baixo</c:v>
                </c:pt>
                <c:pt idx="2">
                  <c:v>Valor Médio</c:v>
                </c:pt>
              </c:strCache>
            </c:strRef>
          </c:cat>
          <c:val>
            <c:numRef>
              <c:f>'tabela dinâmica'!$J$2:$J$5</c:f>
              <c:numCache>
                <c:formatCode>_("R$"* #,##0.00_);_("R$"* \(#,##0.00\);_("R$"* "-"??_);_(@_)</c:formatCode>
                <c:ptCount val="3"/>
                <c:pt idx="0">
                  <c:v>16800</c:v>
                </c:pt>
                <c:pt idx="1">
                  <c:v>2035</c:v>
                </c:pt>
                <c:pt idx="2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36-4A25-82EA-EF3988C13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18469423"/>
        <c:axId val="2018469903"/>
      </c:barChart>
      <c:catAx>
        <c:axId val="2018469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8469903"/>
        <c:auto val="1"/>
        <c:lblAlgn val="ctr"/>
        <c:lblOffset val="100"/>
        <c:noMultiLvlLbl val="0"/>
      </c:catAx>
      <c:valAx>
        <c:axId val="201846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8469423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170328</xdr:rowOff>
    </xdr:from>
    <xdr:to>
      <xdr:col>6</xdr:col>
      <xdr:colOff>462198</xdr:colOff>
      <xdr:row>18</xdr:row>
      <xdr:rowOff>24983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F1FAAA-4E5F-451E-987E-D005ED68A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456713</xdr:colOff>
      <xdr:row>3</xdr:row>
      <xdr:rowOff>17961</xdr:rowOff>
    </xdr:from>
    <xdr:to>
      <xdr:col>17</xdr:col>
      <xdr:colOff>112426</xdr:colOff>
      <xdr:row>18</xdr:row>
      <xdr:rowOff>24984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EB2E29-CD9F-44B0-B60E-B744CC264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18</xdr:row>
      <xdr:rowOff>52756</xdr:rowOff>
    </xdr:from>
    <xdr:to>
      <xdr:col>6</xdr:col>
      <xdr:colOff>452846</xdr:colOff>
      <xdr:row>33</xdr:row>
      <xdr:rowOff>90714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D0A3C9-3613-48D6-899D-C2DCFA140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471352</xdr:colOff>
      <xdr:row>18</xdr:row>
      <xdr:rowOff>41003</xdr:rowOff>
    </xdr:from>
    <xdr:to>
      <xdr:col>9</xdr:col>
      <xdr:colOff>42093</xdr:colOff>
      <xdr:row>24</xdr:row>
      <xdr:rowOff>178526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ês">
              <a:extLst>
                <a:ext uri="{FF2B5EF4-FFF2-40B4-BE49-F238E27FC236}">
                  <a16:creationId xmlns:a16="http://schemas.microsoft.com/office/drawing/2014/main" id="{11FA08BB-DA4E-4657-9718-CB0853F5EA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34709" y="3352074"/>
              <a:ext cx="1829527" cy="1226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48260</xdr:colOff>
      <xdr:row>18</xdr:row>
      <xdr:rowOff>39552</xdr:rowOff>
    </xdr:from>
    <xdr:to>
      <xdr:col>11</xdr:col>
      <xdr:colOff>452846</xdr:colOff>
      <xdr:row>23</xdr:row>
      <xdr:rowOff>103052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Tipo">
              <a:extLst>
                <a:ext uri="{FF2B5EF4-FFF2-40B4-BE49-F238E27FC236}">
                  <a16:creationId xmlns:a16="http://schemas.microsoft.com/office/drawing/2014/main" id="{E9F02229-5098-4723-842D-C257419C77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0403" y="3350623"/>
              <a:ext cx="1828800" cy="9706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465909</xdr:colOff>
      <xdr:row>18</xdr:row>
      <xdr:rowOff>34834</xdr:rowOff>
    </xdr:from>
    <xdr:to>
      <xdr:col>14</xdr:col>
      <xdr:colOff>369752</xdr:colOff>
      <xdr:row>32</xdr:row>
      <xdr:rowOff>76109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Categoria">
              <a:extLst>
                <a:ext uri="{FF2B5EF4-FFF2-40B4-BE49-F238E27FC236}">
                  <a16:creationId xmlns:a16="http://schemas.microsoft.com/office/drawing/2014/main" id="{F98B83D2-C6EF-4A13-89AD-58AA364C90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12266" y="3345905"/>
              <a:ext cx="1826986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BARBOSA" refreshedDate="46159.693452777778" createdVersion="8" refreshedVersion="8" minRefreshableVersion="3" recordCount="21" xr:uid="{54C411E3-84A1-452D-927F-40839A25CA59}">
  <cacheSource type="worksheet">
    <worksheetSource ref="A1:G22" sheet="Base Financeira"/>
  </cacheSource>
  <cacheFields count="7">
    <cacheField name="Data" numFmtId="14">
      <sharedItems containsSemiMixedTypes="0" containsNonDate="0" containsDate="1" containsString="0" minDate="2026-01-01T00:00:00" maxDate="2026-03-23T00:00:00"/>
    </cacheField>
    <cacheField name="Mês" numFmtId="0">
      <sharedItems count="3">
        <s v="Janeiro"/>
        <s v="Fevereiro"/>
        <s v="Março"/>
      </sharedItems>
    </cacheField>
    <cacheField name="Tipo" numFmtId="0">
      <sharedItems count="2">
        <s v="Entrada"/>
        <s v="Saída"/>
      </sharedItems>
    </cacheField>
    <cacheField name="Categoria" numFmtId="0">
      <sharedItems count="8">
        <s v="Salário"/>
        <s v="Alimentação"/>
        <s v="Transporte"/>
        <s v="Moradia"/>
        <s v="Lazer"/>
        <s v="Saúde"/>
        <s v="Educação"/>
        <s v="Outros"/>
      </sharedItems>
    </cacheField>
    <cacheField name="Descrição" numFmtId="0">
      <sharedItems/>
    </cacheField>
    <cacheField name="Valor" numFmtId="44">
      <sharedItems containsSemiMixedTypes="0" containsString="0" containsNumber="1" containsInteger="1" minValue="55" maxValue="4200"/>
    </cacheField>
    <cacheField name="Análise" numFmtId="0">
      <sharedItems count="3">
        <s v="Valor Alto"/>
        <s v="Valor Médio"/>
        <s v="Valor Baixo"/>
      </sharedItems>
    </cacheField>
  </cacheFields>
  <extLst>
    <ext xmlns:x14="http://schemas.microsoft.com/office/spreadsheetml/2009/9/main" uri="{725AE2AE-9491-48be-B2B4-4EB974FC3084}">
      <x14:pivotCacheDefinition pivotCacheId="10921796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d v="2026-01-01T00:00:00"/>
    <x v="0"/>
    <x v="0"/>
    <x v="0"/>
    <s v="Pagamento mensal"/>
    <n v="4200"/>
    <x v="0"/>
  </r>
  <r>
    <d v="2026-01-03T00:00:00"/>
    <x v="0"/>
    <x v="1"/>
    <x v="1"/>
    <s v="Mercado"/>
    <n v="650"/>
    <x v="1"/>
  </r>
  <r>
    <d v="2026-01-05T00:00:00"/>
    <x v="0"/>
    <x v="1"/>
    <x v="2"/>
    <s v="Gasolina"/>
    <n v="250"/>
    <x v="2"/>
  </r>
  <r>
    <d v="2026-01-10T00:00:00"/>
    <x v="0"/>
    <x v="1"/>
    <x v="3"/>
    <s v="Aluguel"/>
    <n v="1400"/>
    <x v="0"/>
  </r>
  <r>
    <d v="2026-01-15T00:00:00"/>
    <x v="0"/>
    <x v="1"/>
    <x v="4"/>
    <s v="Streaming"/>
    <n v="55"/>
    <x v="2"/>
  </r>
  <r>
    <d v="2026-01-20T00:00:00"/>
    <x v="0"/>
    <x v="1"/>
    <x v="5"/>
    <s v="Farmácia"/>
    <n v="120"/>
    <x v="2"/>
  </r>
  <r>
    <d v="2026-01-25T00:00:00"/>
    <x v="0"/>
    <x v="1"/>
    <x v="6"/>
    <s v="Curso online"/>
    <n v="180"/>
    <x v="2"/>
  </r>
  <r>
    <d v="2026-02-01T00:00:00"/>
    <x v="1"/>
    <x v="0"/>
    <x v="0"/>
    <s v="Pagamento mensal"/>
    <n v="4200"/>
    <x v="0"/>
  </r>
  <r>
    <d v="2026-02-04T00:00:00"/>
    <x v="1"/>
    <x v="1"/>
    <x v="1"/>
    <s v="Mercado"/>
    <n v="720"/>
    <x v="1"/>
  </r>
  <r>
    <d v="2026-02-08T00:00:00"/>
    <x v="1"/>
    <x v="1"/>
    <x v="5"/>
    <s v="Farmácia"/>
    <n v="130"/>
    <x v="2"/>
  </r>
  <r>
    <d v="2026-02-12T00:00:00"/>
    <x v="1"/>
    <x v="1"/>
    <x v="2"/>
    <s v="Uber"/>
    <n v="90"/>
    <x v="2"/>
  </r>
  <r>
    <d v="2026-02-16T00:00:00"/>
    <x v="1"/>
    <x v="1"/>
    <x v="3"/>
    <s v="Aluguel"/>
    <n v="1400"/>
    <x v="0"/>
  </r>
  <r>
    <d v="2026-02-20T00:00:00"/>
    <x v="1"/>
    <x v="1"/>
    <x v="6"/>
    <s v="Curso online"/>
    <n v="180"/>
    <x v="2"/>
  </r>
  <r>
    <d v="2026-02-23T00:00:00"/>
    <x v="1"/>
    <x v="1"/>
    <x v="4"/>
    <s v="Cinema"/>
    <n v="110"/>
    <x v="2"/>
  </r>
  <r>
    <d v="2026-03-01T00:00:00"/>
    <x v="2"/>
    <x v="0"/>
    <x v="0"/>
    <s v="Pagamento mensal"/>
    <n v="4200"/>
    <x v="0"/>
  </r>
  <r>
    <d v="2026-03-03T00:00:00"/>
    <x v="2"/>
    <x v="1"/>
    <x v="1"/>
    <s v="Mercado"/>
    <n v="680"/>
    <x v="1"/>
  </r>
  <r>
    <d v="2026-03-07T00:00:00"/>
    <x v="2"/>
    <x v="1"/>
    <x v="2"/>
    <s v="Gasolina"/>
    <n v="300"/>
    <x v="2"/>
  </r>
  <r>
    <d v="2026-03-10T00:00:00"/>
    <x v="2"/>
    <x v="1"/>
    <x v="3"/>
    <s v="Aluguel"/>
    <n v="1400"/>
    <x v="0"/>
  </r>
  <r>
    <d v="2026-03-15T00:00:00"/>
    <x v="2"/>
    <x v="1"/>
    <x v="5"/>
    <s v="Consulta"/>
    <n v="250"/>
    <x v="2"/>
  </r>
  <r>
    <d v="2026-03-18T00:00:00"/>
    <x v="2"/>
    <x v="1"/>
    <x v="4"/>
    <s v="Restaurante"/>
    <n v="220"/>
    <x v="2"/>
  </r>
  <r>
    <d v="2026-03-22T00:00:00"/>
    <x v="2"/>
    <x v="1"/>
    <x v="7"/>
    <s v="Presente"/>
    <n v="15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EA3B4-4CD3-4AFF-9127-D32A3573A678}" name="Tabela dinâ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I1:J5" firstHeaderRow="1" firstDataRow="1" firstDataCol="1"/>
  <pivotFields count="7">
    <pivotField numFmtId="14" showAll="0"/>
    <pivotField showAll="0"/>
    <pivotField showAll="0"/>
    <pivotField showAll="0"/>
    <pivotField showAll="0"/>
    <pivotField dataField="1" numFmtId="44" showAll="0"/>
    <pivotField axis="axisRow" showAll="0">
      <items count="4">
        <item x="0"/>
        <item x="2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" fld="5" baseField="0" baseItem="0" numFmtId="44"/>
  </dataFields>
  <formats count="1">
    <format dxfId="24">
      <pivotArea outline="0" collapsedLevelsAreSubtotals="1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891AC-1925-41E9-95F1-3C7FDBE23C71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D1:G6" firstHeaderRow="1" firstDataRow="2" firstDataCol="1"/>
  <pivotFields count="7">
    <pivotField numFmtId="14"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dataField="1" numFmtId="44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oma de Valor" fld="5" baseField="0" baseItem="0" numFmtId="44"/>
  </dataFields>
  <formats count="1">
    <format dxfId="25">
      <pivotArea outline="0" collapsedLevelsAreSubtotals="1" fieldPosition="0"/>
    </format>
  </format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4917B-BEF6-484F-8721-9E10E6BA1319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1" firstHeaderRow="1" firstDataRow="1" firstDataCol="1" rowPageCount="1" colPageCount="1"/>
  <pivotFields count="7">
    <pivotField numFmtId="14" showAll="0"/>
    <pivotField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9">
        <item x="1"/>
        <item x="6"/>
        <item x="4"/>
        <item x="3"/>
        <item x="7"/>
        <item x="0"/>
        <item x="5"/>
        <item x="2"/>
        <item t="default"/>
      </items>
    </pivotField>
    <pivotField showAll="0"/>
    <pivotField dataField="1" numFmtId="44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6"/>
    </i>
    <i>
      <x v="7"/>
    </i>
    <i t="grand">
      <x/>
    </i>
  </rowItems>
  <colItems count="1">
    <i/>
  </colItems>
  <pageFields count="1">
    <pageField fld="2" item="1" hier="-1"/>
  </pageFields>
  <dataFields count="1">
    <dataField name="Soma de Valor" fld="5" baseField="0" baseItem="0" numFmtId="44"/>
  </dataFields>
  <formats count="1">
    <format dxfId="26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7C6012CF-C5D5-4425-A89D-07D0A1083D88}" sourceName="Mês">
  <pivotTables>
    <pivotTable tabId="3" name="Tabela dinâmica2"/>
  </pivotTables>
  <data>
    <tabular pivotCacheId="1092179615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" xr10:uid="{5DBDA752-770C-4C9E-9DB7-77B0C5858E72}" sourceName="Tipo">
  <pivotTables>
    <pivotTable tabId="3" name="Tabela dinâmica2"/>
  </pivotTables>
  <data>
    <tabular pivotCacheId="1092179615">
      <items count="2">
        <i x="0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F1C5992E-789D-46A2-826F-B65BD9FAB1C3}" sourceName="Categoria">
  <pivotTables>
    <pivotTable tabId="3" name="Tabela dinâmica2"/>
  </pivotTables>
  <data>
    <tabular pivotCacheId="1092179615">
      <items count="8">
        <i x="1" s="1"/>
        <i x="6" s="1"/>
        <i x="4" s="1"/>
        <i x="3" s="1"/>
        <i x="7" s="1"/>
        <i x="5" s="1"/>
        <i x="2" s="1"/>
        <i x="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4599B8F0-49D0-43A9-854F-388E90DF1424}" cache="SegmentaçãodeDados_Mês" caption="Mês" rowHeight="247650"/>
  <slicer name="Tipo" xr10:uid="{C24BA553-A6A5-469D-BF1D-A4F526F6A2C0}" cache="SegmentaçãodeDados_Tipo" caption="Tipo" rowHeight="247650"/>
  <slicer name="Categoria" xr10:uid="{C4E98AF9-D1EF-480C-8761-78C31FD3867F}" cache="SegmentaçãodeDados_Categoria" caption="Categoria" rowHeight="2476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1C94-C5A8-48F5-BFD3-90541070B662}">
  <dimension ref="A1:P37"/>
  <sheetViews>
    <sheetView topLeftCell="E10" zoomScale="127" zoomScaleNormal="70" workbookViewId="0">
      <selection activeCell="L20" sqref="L20"/>
    </sheetView>
  </sheetViews>
  <sheetFormatPr defaultRowHeight="14.4" x14ac:dyDescent="0.3"/>
  <cols>
    <col min="1" max="1" width="10.33203125" bestFit="1" customWidth="1"/>
    <col min="2" max="3" width="9.88671875" bestFit="1" customWidth="1"/>
    <col min="4" max="4" width="15.77734375" bestFit="1" customWidth="1"/>
    <col min="5" max="5" width="16.44140625" bestFit="1" customWidth="1"/>
    <col min="6" max="6" width="11.21875" bestFit="1" customWidth="1"/>
    <col min="7" max="7" width="13.33203125" bestFit="1" customWidth="1"/>
    <col min="9" max="9" width="19.109375" customWidth="1"/>
    <col min="11" max="11" width="12.88671875" bestFit="1" customWidth="1"/>
    <col min="13" max="13" width="12.88671875" customWidth="1"/>
    <col min="15" max="15" width="10.33203125" bestFit="1" customWidth="1"/>
  </cols>
  <sheetData>
    <row r="1" spans="1:16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6" x14ac:dyDescent="0.3">
      <c r="A2" s="4">
        <v>46023</v>
      </c>
      <c r="B2" s="5" t="s">
        <v>7</v>
      </c>
      <c r="C2" s="5" t="s">
        <v>8</v>
      </c>
      <c r="D2" s="5" t="s">
        <v>9</v>
      </c>
      <c r="E2" s="5" t="s">
        <v>10</v>
      </c>
      <c r="F2" s="8">
        <v>4200</v>
      </c>
      <c r="G2" s="6" t="str">
        <f>IF(F2&gt;1000,"Valor Alto",IF(F2&gt;300,"Valor Médio","Valor Baixo"))</f>
        <v>Valor Alto</v>
      </c>
      <c r="I2" t="s">
        <v>8</v>
      </c>
      <c r="J2" t="s">
        <v>9</v>
      </c>
    </row>
    <row r="3" spans="1:16" ht="13.8" customHeight="1" x14ac:dyDescent="0.3">
      <c r="A3" s="4">
        <v>46025</v>
      </c>
      <c r="B3" s="5" t="s">
        <v>7</v>
      </c>
      <c r="C3" s="5" t="s">
        <v>11</v>
      </c>
      <c r="D3" s="5" t="s">
        <v>12</v>
      </c>
      <c r="E3" s="5" t="s">
        <v>13</v>
      </c>
      <c r="F3" s="8">
        <v>650</v>
      </c>
      <c r="G3" s="6" t="str">
        <f t="shared" ref="G3:G22" si="0">IF(F3&gt;1000,"Valor Alto",IF(F3&gt;300,"Valor Médio","Valor Baixo"))</f>
        <v>Valor Médio</v>
      </c>
      <c r="I3" t="s">
        <v>11</v>
      </c>
      <c r="J3" t="s">
        <v>12</v>
      </c>
    </row>
    <row r="4" spans="1:16" x14ac:dyDescent="0.3">
      <c r="A4" s="4">
        <v>46027</v>
      </c>
      <c r="B4" s="5" t="s">
        <v>7</v>
      </c>
      <c r="C4" s="5" t="s">
        <v>11</v>
      </c>
      <c r="D4" s="5" t="s">
        <v>14</v>
      </c>
      <c r="E4" s="5" t="s">
        <v>15</v>
      </c>
      <c r="F4" s="8">
        <v>250</v>
      </c>
      <c r="G4" s="6" t="str">
        <f t="shared" si="0"/>
        <v>Valor Baixo</v>
      </c>
      <c r="J4" t="s">
        <v>14</v>
      </c>
    </row>
    <row r="5" spans="1:16" x14ac:dyDescent="0.3">
      <c r="A5" s="4">
        <v>46032</v>
      </c>
      <c r="B5" s="5" t="s">
        <v>7</v>
      </c>
      <c r="C5" s="5" t="s">
        <v>11</v>
      </c>
      <c r="D5" s="5" t="s">
        <v>16</v>
      </c>
      <c r="E5" s="5" t="s">
        <v>17</v>
      </c>
      <c r="F5" s="8">
        <v>1400</v>
      </c>
      <c r="G5" s="6" t="str">
        <f t="shared" si="0"/>
        <v>Valor Alto</v>
      </c>
      <c r="J5" t="s">
        <v>16</v>
      </c>
    </row>
    <row r="6" spans="1:16" x14ac:dyDescent="0.3">
      <c r="A6" s="4">
        <v>46037</v>
      </c>
      <c r="B6" s="5" t="s">
        <v>7</v>
      </c>
      <c r="C6" s="5" t="s">
        <v>11</v>
      </c>
      <c r="D6" s="5" t="s">
        <v>18</v>
      </c>
      <c r="E6" s="5" t="s">
        <v>19</v>
      </c>
      <c r="F6" s="8">
        <v>55</v>
      </c>
      <c r="G6" s="6" t="str">
        <f t="shared" si="0"/>
        <v>Valor Baixo</v>
      </c>
      <c r="J6" t="s">
        <v>21</v>
      </c>
    </row>
    <row r="7" spans="1:16" x14ac:dyDescent="0.3">
      <c r="A7" s="4">
        <v>46042</v>
      </c>
      <c r="B7" s="5" t="s">
        <v>7</v>
      </c>
      <c r="C7" s="5" t="s">
        <v>11</v>
      </c>
      <c r="D7" s="5" t="s">
        <v>21</v>
      </c>
      <c r="E7" s="5" t="s">
        <v>22</v>
      </c>
      <c r="F7" s="8">
        <v>120</v>
      </c>
      <c r="G7" s="6" t="str">
        <f t="shared" si="0"/>
        <v>Valor Baixo</v>
      </c>
      <c r="J7" t="s">
        <v>18</v>
      </c>
    </row>
    <row r="8" spans="1:16" ht="13.2" customHeight="1" x14ac:dyDescent="0.3">
      <c r="A8" s="4">
        <v>46047</v>
      </c>
      <c r="B8" s="5" t="s">
        <v>7</v>
      </c>
      <c r="C8" s="5" t="s">
        <v>11</v>
      </c>
      <c r="D8" s="5" t="s">
        <v>24</v>
      </c>
      <c r="E8" s="5" t="s">
        <v>25</v>
      </c>
      <c r="F8" s="8">
        <v>180</v>
      </c>
      <c r="G8" s="6" t="str">
        <f t="shared" si="0"/>
        <v>Valor Baixo</v>
      </c>
      <c r="J8" t="s">
        <v>24</v>
      </c>
    </row>
    <row r="9" spans="1:16" x14ac:dyDescent="0.3">
      <c r="A9" s="4">
        <v>46054</v>
      </c>
      <c r="B9" s="5" t="s">
        <v>20</v>
      </c>
      <c r="C9" s="5" t="s">
        <v>8</v>
      </c>
      <c r="D9" s="5" t="s">
        <v>9</v>
      </c>
      <c r="E9" s="5" t="s">
        <v>10</v>
      </c>
      <c r="F9" s="8">
        <v>4200</v>
      </c>
      <c r="G9" s="6" t="str">
        <f t="shared" si="0"/>
        <v>Valor Alto</v>
      </c>
      <c r="J9" t="s">
        <v>30</v>
      </c>
    </row>
    <row r="10" spans="1:16" x14ac:dyDescent="0.3">
      <c r="A10" s="4">
        <v>46057</v>
      </c>
      <c r="B10" s="5" t="s">
        <v>20</v>
      </c>
      <c r="C10" s="5" t="s">
        <v>11</v>
      </c>
      <c r="D10" s="5" t="s">
        <v>12</v>
      </c>
      <c r="E10" s="5" t="s">
        <v>13</v>
      </c>
      <c r="F10" s="8">
        <v>720</v>
      </c>
      <c r="G10" s="6" t="str">
        <f t="shared" si="0"/>
        <v>Valor Médio</v>
      </c>
    </row>
    <row r="11" spans="1:16" x14ac:dyDescent="0.3">
      <c r="A11" s="4">
        <v>46061</v>
      </c>
      <c r="B11" s="5" t="s">
        <v>20</v>
      </c>
      <c r="C11" s="5" t="s">
        <v>11</v>
      </c>
      <c r="D11" s="5" t="s">
        <v>21</v>
      </c>
      <c r="E11" s="5" t="s">
        <v>22</v>
      </c>
      <c r="F11" s="8">
        <v>130</v>
      </c>
      <c r="G11" s="6" t="str">
        <f t="shared" si="0"/>
        <v>Valor Baixo</v>
      </c>
    </row>
    <row r="12" spans="1:16" x14ac:dyDescent="0.3">
      <c r="A12" s="4">
        <v>46065</v>
      </c>
      <c r="B12" s="5" t="s">
        <v>20</v>
      </c>
      <c r="C12" s="5" t="s">
        <v>11</v>
      </c>
      <c r="D12" s="5" t="s">
        <v>14</v>
      </c>
      <c r="E12" s="5" t="s">
        <v>23</v>
      </c>
      <c r="F12" s="8">
        <v>90</v>
      </c>
      <c r="G12" s="6" t="str">
        <f t="shared" si="0"/>
        <v>Valor Baixo</v>
      </c>
    </row>
    <row r="13" spans="1:16" x14ac:dyDescent="0.3">
      <c r="A13" s="4">
        <v>46069</v>
      </c>
      <c r="B13" s="5" t="s">
        <v>20</v>
      </c>
      <c r="C13" s="5" t="s">
        <v>11</v>
      </c>
      <c r="D13" s="5" t="s">
        <v>16</v>
      </c>
      <c r="E13" s="5" t="s">
        <v>17</v>
      </c>
      <c r="F13" s="8">
        <v>1400</v>
      </c>
      <c r="G13" s="6" t="str">
        <f t="shared" si="0"/>
        <v>Valor Alto</v>
      </c>
    </row>
    <row r="14" spans="1:16" x14ac:dyDescent="0.3">
      <c r="A14" s="4">
        <v>46073</v>
      </c>
      <c r="B14" s="5" t="s">
        <v>20</v>
      </c>
      <c r="C14" s="5" t="s">
        <v>11</v>
      </c>
      <c r="D14" s="5" t="s">
        <v>24</v>
      </c>
      <c r="E14" s="5" t="s">
        <v>25</v>
      </c>
      <c r="F14" s="8">
        <v>180</v>
      </c>
      <c r="G14" s="6" t="str">
        <f t="shared" si="0"/>
        <v>Valor Baixo</v>
      </c>
      <c r="I14" s="12" t="s">
        <v>32</v>
      </c>
      <c r="J14" s="12"/>
      <c r="K14" s="12" t="s">
        <v>33</v>
      </c>
      <c r="L14" s="12"/>
      <c r="M14" s="12" t="s">
        <v>35</v>
      </c>
      <c r="N14" s="12"/>
      <c r="O14" s="12" t="s">
        <v>36</v>
      </c>
      <c r="P14" s="12"/>
    </row>
    <row r="15" spans="1:16" x14ac:dyDescent="0.3">
      <c r="A15" s="4">
        <v>46076</v>
      </c>
      <c r="B15" s="5" t="s">
        <v>20</v>
      </c>
      <c r="C15" s="5" t="s">
        <v>11</v>
      </c>
      <c r="D15" s="5" t="s">
        <v>18</v>
      </c>
      <c r="E15" s="5" t="s">
        <v>26</v>
      </c>
      <c r="F15" s="8">
        <v>110</v>
      </c>
      <c r="G15" s="6" t="str">
        <f t="shared" si="0"/>
        <v>Valor Baixo</v>
      </c>
      <c r="I15" s="13">
        <f>SUMIF(C:C,"Entrada",F:F)</f>
        <v>12600</v>
      </c>
      <c r="J15" s="13"/>
      <c r="K15" s="13">
        <f>SUMIF(C:C,"Saída",F:F)</f>
        <v>8285</v>
      </c>
      <c r="L15" s="13"/>
      <c r="M15" s="13">
        <f>_xlfn.MAXIFS(F:F,C:C,"Saída")</f>
        <v>1400</v>
      </c>
      <c r="N15" s="13"/>
      <c r="O15" s="13">
        <f>AVERAGEIFS(F:F,C:C,"Saída")</f>
        <v>460.27777777777777</v>
      </c>
      <c r="P15" s="13"/>
    </row>
    <row r="16" spans="1:16" x14ac:dyDescent="0.3">
      <c r="A16" s="4">
        <v>46082</v>
      </c>
      <c r="B16" s="5" t="s">
        <v>27</v>
      </c>
      <c r="C16" s="5" t="s">
        <v>8</v>
      </c>
      <c r="D16" s="5" t="s">
        <v>9</v>
      </c>
      <c r="E16" s="5" t="s">
        <v>10</v>
      </c>
      <c r="F16" s="8">
        <v>4200</v>
      </c>
      <c r="G16" s="6" t="str">
        <f t="shared" si="0"/>
        <v>Valor Alto</v>
      </c>
      <c r="I16" s="14"/>
      <c r="J16" s="14"/>
      <c r="K16" s="14"/>
      <c r="L16" s="14"/>
      <c r="M16" s="14"/>
      <c r="N16" s="14"/>
      <c r="O16" s="14"/>
      <c r="P16" s="14"/>
    </row>
    <row r="17" spans="1:16" x14ac:dyDescent="0.3">
      <c r="A17" s="4">
        <v>46084</v>
      </c>
      <c r="B17" s="5" t="s">
        <v>27</v>
      </c>
      <c r="C17" s="5" t="s">
        <v>11</v>
      </c>
      <c r="D17" s="5" t="s">
        <v>12</v>
      </c>
      <c r="E17" s="5" t="s">
        <v>13</v>
      </c>
      <c r="F17" s="8">
        <v>680</v>
      </c>
      <c r="G17" s="6" t="str">
        <f t="shared" si="0"/>
        <v>Valor Médio</v>
      </c>
      <c r="I17" s="12" t="s">
        <v>34</v>
      </c>
      <c r="J17" s="12"/>
      <c r="K17" s="14"/>
      <c r="L17" s="14"/>
      <c r="M17" s="14"/>
      <c r="N17" s="14"/>
      <c r="O17" s="14"/>
      <c r="P17" s="14"/>
    </row>
    <row r="18" spans="1:16" x14ac:dyDescent="0.3">
      <c r="A18" s="4">
        <v>46088</v>
      </c>
      <c r="B18" s="5" t="s">
        <v>27</v>
      </c>
      <c r="C18" s="5" t="s">
        <v>11</v>
      </c>
      <c r="D18" s="5" t="s">
        <v>14</v>
      </c>
      <c r="E18" s="5" t="s">
        <v>15</v>
      </c>
      <c r="F18" s="8">
        <v>300</v>
      </c>
      <c r="G18" s="6" t="str">
        <f t="shared" si="0"/>
        <v>Valor Baixo</v>
      </c>
      <c r="I18" s="13">
        <f>I15-K15</f>
        <v>4315</v>
      </c>
      <c r="J18" s="13"/>
      <c r="K18" s="14"/>
      <c r="L18" s="14"/>
      <c r="M18" s="14"/>
      <c r="N18" s="14"/>
      <c r="O18" s="14"/>
      <c r="P18" s="14"/>
    </row>
    <row r="19" spans="1:16" x14ac:dyDescent="0.3">
      <c r="A19" s="4">
        <v>46091</v>
      </c>
      <c r="B19" s="5" t="s">
        <v>27</v>
      </c>
      <c r="C19" s="5" t="s">
        <v>11</v>
      </c>
      <c r="D19" s="5" t="s">
        <v>16</v>
      </c>
      <c r="E19" s="5" t="s">
        <v>17</v>
      </c>
      <c r="F19" s="8">
        <v>1400</v>
      </c>
      <c r="G19" s="6" t="str">
        <f t="shared" si="0"/>
        <v>Valor Alto</v>
      </c>
    </row>
    <row r="20" spans="1:16" x14ac:dyDescent="0.3">
      <c r="A20" s="4">
        <v>46096</v>
      </c>
      <c r="B20" s="5" t="s">
        <v>27</v>
      </c>
      <c r="C20" s="5" t="s">
        <v>11</v>
      </c>
      <c r="D20" s="5" t="s">
        <v>21</v>
      </c>
      <c r="E20" s="5" t="s">
        <v>28</v>
      </c>
      <c r="F20" s="8">
        <v>250</v>
      </c>
      <c r="G20" s="6" t="str">
        <f t="shared" si="0"/>
        <v>Valor Baixo</v>
      </c>
    </row>
    <row r="21" spans="1:16" x14ac:dyDescent="0.3">
      <c r="A21" s="4">
        <v>46099</v>
      </c>
      <c r="B21" s="5" t="s">
        <v>27</v>
      </c>
      <c r="C21" s="5" t="s">
        <v>11</v>
      </c>
      <c r="D21" s="5" t="s">
        <v>18</v>
      </c>
      <c r="E21" s="5" t="s">
        <v>29</v>
      </c>
      <c r="F21" s="8">
        <v>220</v>
      </c>
      <c r="G21" s="6" t="str">
        <f t="shared" si="0"/>
        <v>Valor Baixo</v>
      </c>
    </row>
    <row r="22" spans="1:16" x14ac:dyDescent="0.3">
      <c r="A22" s="4">
        <v>46103</v>
      </c>
      <c r="B22" s="5" t="s">
        <v>27</v>
      </c>
      <c r="C22" s="5" t="s">
        <v>11</v>
      </c>
      <c r="D22" s="5" t="s">
        <v>30</v>
      </c>
      <c r="E22" s="5" t="s">
        <v>31</v>
      </c>
      <c r="F22" s="8">
        <v>150</v>
      </c>
      <c r="G22" s="6" t="str">
        <f t="shared" si="0"/>
        <v>Valor Baixo</v>
      </c>
    </row>
    <row r="23" spans="1:16" x14ac:dyDescent="0.3">
      <c r="A23" s="7"/>
      <c r="B23" s="7"/>
      <c r="C23" s="7"/>
      <c r="D23" s="7"/>
      <c r="E23" s="7"/>
      <c r="F23" s="7"/>
      <c r="G23" s="7"/>
    </row>
    <row r="32" spans="1:16" x14ac:dyDescent="0.3">
      <c r="H32" s="1"/>
      <c r="I32" s="1"/>
    </row>
    <row r="33" spans="8:9" x14ac:dyDescent="0.3">
      <c r="H33" s="2"/>
      <c r="I33" s="2"/>
    </row>
    <row r="34" spans="8:9" x14ac:dyDescent="0.3">
      <c r="H34" s="2"/>
      <c r="I34" s="2"/>
    </row>
    <row r="35" spans="8:9" x14ac:dyDescent="0.3">
      <c r="H35" s="2"/>
      <c r="I35" s="2"/>
    </row>
    <row r="36" spans="8:9" x14ac:dyDescent="0.3">
      <c r="H36" s="2"/>
      <c r="I36" s="2"/>
    </row>
    <row r="37" spans="8:9" x14ac:dyDescent="0.3">
      <c r="H37" s="2"/>
      <c r="I37" s="2"/>
    </row>
  </sheetData>
  <autoFilter ref="A1:G22" xr:uid="{A37C1C94-C5A8-48F5-BFD3-90541070B662}"/>
  <mergeCells count="5">
    <mergeCell ref="I14:J14"/>
    <mergeCell ref="I17:J17"/>
    <mergeCell ref="K14:L14"/>
    <mergeCell ref="M14:N14"/>
    <mergeCell ref="O14:P14"/>
  </mergeCells>
  <dataValidations count="2">
    <dataValidation type="list" allowBlank="1" showInputMessage="1" showErrorMessage="1" sqref="C2:C22" xr:uid="{E55A8FC2-3AC4-4684-984B-3989849EDC3A}">
      <formula1>$I$2:$I$3</formula1>
    </dataValidation>
    <dataValidation type="list" allowBlank="1" showInputMessage="1" showErrorMessage="1" sqref="D2:D22" xr:uid="{B196F85D-0691-4BB8-A780-EA410E85D034}">
      <formula1>$J$2:$J$9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7848D39-A3A0-42C4-BAD6-B24CC3B2C253}">
            <xm:f>NOT(ISERROR(SEARCH($G$10,G2)))</xm:f>
            <xm:f>$G$10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56EF7440-52C2-4996-B9E2-30F4BC892ABF}">
            <xm:f>NOT(ISERROR(SEARCH($G$8,G2)))</xm:f>
            <xm:f>$G$8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177D32C8-5175-414F-9515-52A6640A1F88}">
            <xm:f>NOT(ISERROR(SEARCH($G$5,G2)))</xm:f>
            <xm:f>$G$5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G2:G22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276F-6130-4C64-802A-B59980183BFA}">
  <dimension ref="A1:J11"/>
  <sheetViews>
    <sheetView zoomScale="96" workbookViewId="0">
      <selection activeCell="F7" sqref="F7:J21"/>
    </sheetView>
  </sheetViews>
  <sheetFormatPr defaultRowHeight="14.4" x14ac:dyDescent="0.3"/>
  <cols>
    <col min="1" max="1" width="17.44140625" bestFit="1" customWidth="1"/>
    <col min="2" max="2" width="13.44140625" bestFit="1" customWidth="1"/>
    <col min="4" max="4" width="16.77734375" bestFit="1" customWidth="1"/>
    <col min="5" max="5" width="18.21875" bestFit="1" customWidth="1"/>
    <col min="6" max="6" width="11.88671875" bestFit="1" customWidth="1"/>
    <col min="7" max="7" width="12.88671875" bestFit="1" customWidth="1"/>
    <col min="9" max="9" width="16.77734375" bestFit="1" customWidth="1"/>
    <col min="10" max="10" width="12.88671875" bestFit="1" customWidth="1"/>
  </cols>
  <sheetData>
    <row r="1" spans="1:10" x14ac:dyDescent="0.3">
      <c r="A1" s="10" t="s">
        <v>2</v>
      </c>
      <c r="B1" t="s">
        <v>11</v>
      </c>
      <c r="D1" s="10" t="s">
        <v>38</v>
      </c>
      <c r="E1" s="10" t="s">
        <v>43</v>
      </c>
      <c r="I1" s="10" t="s">
        <v>37</v>
      </c>
      <c r="J1" t="s">
        <v>38</v>
      </c>
    </row>
    <row r="2" spans="1:10" x14ac:dyDescent="0.3">
      <c r="D2" s="10" t="s">
        <v>37</v>
      </c>
      <c r="E2" t="s">
        <v>8</v>
      </c>
      <c r="F2" t="s">
        <v>11</v>
      </c>
      <c r="G2" t="s">
        <v>42</v>
      </c>
      <c r="I2" s="11" t="s">
        <v>39</v>
      </c>
      <c r="J2" s="9">
        <v>16800</v>
      </c>
    </row>
    <row r="3" spans="1:10" x14ac:dyDescent="0.3">
      <c r="A3" s="10" t="s">
        <v>37</v>
      </c>
      <c r="B3" t="s">
        <v>38</v>
      </c>
      <c r="D3" s="11" t="s">
        <v>7</v>
      </c>
      <c r="E3" s="9">
        <v>4200</v>
      </c>
      <c r="F3" s="9">
        <v>2655</v>
      </c>
      <c r="G3" s="9">
        <v>6855</v>
      </c>
      <c r="I3" s="11" t="s">
        <v>40</v>
      </c>
      <c r="J3" s="9">
        <v>2035</v>
      </c>
    </row>
    <row r="4" spans="1:10" x14ac:dyDescent="0.3">
      <c r="A4" s="11" t="s">
        <v>12</v>
      </c>
      <c r="B4" s="9">
        <v>2050</v>
      </c>
      <c r="D4" s="11" t="s">
        <v>20</v>
      </c>
      <c r="E4" s="9">
        <v>4200</v>
      </c>
      <c r="F4" s="9">
        <v>2630</v>
      </c>
      <c r="G4" s="9">
        <v>6830</v>
      </c>
      <c r="I4" s="11" t="s">
        <v>41</v>
      </c>
      <c r="J4" s="9">
        <v>2050</v>
      </c>
    </row>
    <row r="5" spans="1:10" x14ac:dyDescent="0.3">
      <c r="A5" s="11" t="s">
        <v>24</v>
      </c>
      <c r="B5" s="9">
        <v>360</v>
      </c>
      <c r="D5" s="11" t="s">
        <v>27</v>
      </c>
      <c r="E5" s="9">
        <v>4200</v>
      </c>
      <c r="F5" s="9">
        <v>3000</v>
      </c>
      <c r="G5" s="9">
        <v>7200</v>
      </c>
      <c r="I5" s="11" t="s">
        <v>42</v>
      </c>
      <c r="J5" s="9">
        <v>20885</v>
      </c>
    </row>
    <row r="6" spans="1:10" x14ac:dyDescent="0.3">
      <c r="A6" s="11" t="s">
        <v>18</v>
      </c>
      <c r="B6" s="9">
        <v>385</v>
      </c>
      <c r="D6" s="11" t="s">
        <v>42</v>
      </c>
      <c r="E6" s="9">
        <v>12600</v>
      </c>
      <c r="F6" s="9">
        <v>8285</v>
      </c>
      <c r="G6" s="9">
        <v>20885</v>
      </c>
    </row>
    <row r="7" spans="1:10" x14ac:dyDescent="0.3">
      <c r="A7" s="11" t="s">
        <v>16</v>
      </c>
      <c r="B7" s="9">
        <v>4200</v>
      </c>
    </row>
    <row r="8" spans="1:10" x14ac:dyDescent="0.3">
      <c r="A8" s="11" t="s">
        <v>30</v>
      </c>
      <c r="B8" s="9">
        <v>150</v>
      </c>
    </row>
    <row r="9" spans="1:10" x14ac:dyDescent="0.3">
      <c r="A9" s="11" t="s">
        <v>21</v>
      </c>
      <c r="B9" s="9">
        <v>500</v>
      </c>
    </row>
    <row r="10" spans="1:10" x14ac:dyDescent="0.3">
      <c r="A10" s="11" t="s">
        <v>14</v>
      </c>
      <c r="B10" s="9">
        <v>640</v>
      </c>
    </row>
    <row r="11" spans="1:10" x14ac:dyDescent="0.3">
      <c r="A11" s="11" t="s">
        <v>42</v>
      </c>
      <c r="B11" s="9">
        <v>8285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8415-CB2F-413D-B451-AC6C1D7E3106}">
  <dimension ref="A1:O3"/>
  <sheetViews>
    <sheetView tabSelected="1" zoomScale="84" workbookViewId="0">
      <selection activeCell="Y8" sqref="Y8"/>
    </sheetView>
  </sheetViews>
  <sheetFormatPr defaultRowHeight="14.4" x14ac:dyDescent="0.3"/>
  <cols>
    <col min="1" max="1" width="13" customWidth="1"/>
    <col min="4" max="4" width="15.21875" customWidth="1"/>
    <col min="7" max="7" width="12.109375" bestFit="1" customWidth="1"/>
    <col min="8" max="8" width="11.88671875" bestFit="1" customWidth="1"/>
    <col min="10" max="10" width="11.88671875" bestFit="1" customWidth="1"/>
    <col min="13" max="13" width="10.33203125" bestFit="1" customWidth="1"/>
  </cols>
  <sheetData>
    <row r="1" spans="1:15" ht="18" x14ac:dyDescent="0.3">
      <c r="A1" s="15" t="s">
        <v>32</v>
      </c>
      <c r="B1" s="16"/>
      <c r="C1" s="17"/>
      <c r="D1" s="15" t="s">
        <v>33</v>
      </c>
      <c r="E1" s="16"/>
      <c r="F1" s="17"/>
      <c r="G1" s="15" t="s">
        <v>34</v>
      </c>
      <c r="H1" s="16"/>
      <c r="I1" s="17"/>
      <c r="J1" s="15" t="s">
        <v>35</v>
      </c>
      <c r="K1" s="16"/>
      <c r="L1" s="17"/>
      <c r="M1" s="16" t="s">
        <v>36</v>
      </c>
      <c r="N1" s="16"/>
      <c r="O1" s="17"/>
    </row>
    <row r="2" spans="1:15" x14ac:dyDescent="0.3">
      <c r="A2" s="18">
        <f>'Base Financeira'!I15</f>
        <v>12600</v>
      </c>
      <c r="B2" s="19"/>
      <c r="C2" s="20"/>
      <c r="D2" s="18">
        <f>'Base Financeira'!K15</f>
        <v>8285</v>
      </c>
      <c r="E2" s="19"/>
      <c r="F2" s="20"/>
      <c r="G2" s="18">
        <f>'Base Financeira'!I18</f>
        <v>4315</v>
      </c>
      <c r="H2" s="19"/>
      <c r="I2" s="20"/>
      <c r="J2" s="18">
        <f>'Base Financeira'!M15</f>
        <v>1400</v>
      </c>
      <c r="K2" s="19"/>
      <c r="L2" s="20"/>
      <c r="M2" s="19">
        <f>'Base Financeira'!O15</f>
        <v>460.27777777777777</v>
      </c>
      <c r="N2" s="19"/>
      <c r="O2" s="20"/>
    </row>
    <row r="3" spans="1:15" x14ac:dyDescent="0.3">
      <c r="A3" s="21"/>
      <c r="B3" s="22"/>
      <c r="C3" s="23"/>
      <c r="D3" s="21"/>
      <c r="E3" s="22"/>
      <c r="F3" s="23"/>
      <c r="G3" s="21"/>
      <c r="H3" s="22"/>
      <c r="I3" s="23"/>
      <c r="J3" s="21"/>
      <c r="K3" s="22"/>
      <c r="L3" s="23"/>
      <c r="M3" s="22"/>
      <c r="N3" s="22"/>
      <c r="O3" s="23"/>
    </row>
  </sheetData>
  <mergeCells count="10">
    <mergeCell ref="M1:O1"/>
    <mergeCell ref="J1:L1"/>
    <mergeCell ref="G1:I1"/>
    <mergeCell ref="A1:C1"/>
    <mergeCell ref="D1:F1"/>
    <mergeCell ref="A2:C3"/>
    <mergeCell ref="D2:F3"/>
    <mergeCell ref="G2:I3"/>
    <mergeCell ref="J2:L3"/>
    <mergeCell ref="M2:O3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Financeira</vt:lpstr>
      <vt:lpstr>tabela dinâmica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BARBOSA</dc:creator>
  <cp:lastModifiedBy>ANDERSON BARBOSA</cp:lastModifiedBy>
  <dcterms:created xsi:type="dcterms:W3CDTF">2026-05-17T18:59:39Z</dcterms:created>
  <dcterms:modified xsi:type="dcterms:W3CDTF">2026-05-17T20:52:32Z</dcterms:modified>
</cp:coreProperties>
</file>